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a analysiss\drive-download-20251013T143408Z-1-001\2_Formulas_Functions\"/>
    </mc:Choice>
  </mc:AlternateContent>
  <xr:revisionPtr revIDLastSave="0" documentId="13_ncr:1_{E834BB26-A577-425D-9C09-E831F04C5804}" xr6:coauthVersionLast="47" xr6:coauthVersionMax="47" xr10:uidLastSave="{00000000-0000-0000-0000-000000000000}"/>
  <bookViews>
    <workbookView xWindow="-105" yWindow="0" windowWidth="14610" windowHeight="1558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  <c r="C17" i="1"/>
  <c r="C16" i="1"/>
  <c r="D16" i="1"/>
  <c r="D15" i="1"/>
  <c r="E15" i="1"/>
  <c r="C15" i="1"/>
  <c r="P11" i="1"/>
  <c r="D14" i="1"/>
  <c r="E14" i="1"/>
  <c r="D13" i="1"/>
  <c r="E13" i="1"/>
  <c r="C14" i="1"/>
  <c r="C13" i="1"/>
  <c r="L5" i="1"/>
  <c r="P5" i="1" s="1"/>
  <c r="L4" i="1"/>
  <c r="L6" i="1"/>
  <c r="L7" i="1"/>
  <c r="L8" i="1"/>
  <c r="L9" i="1"/>
  <c r="P9" i="1" s="1"/>
  <c r="L10" i="1"/>
  <c r="L11" i="1"/>
  <c r="L12" i="1"/>
  <c r="P12" i="1" s="1"/>
  <c r="L3" i="1"/>
  <c r="K4" i="1"/>
  <c r="K5" i="1"/>
  <c r="K6" i="1"/>
  <c r="K7" i="1"/>
  <c r="K8" i="1"/>
  <c r="K9" i="1"/>
  <c r="K10" i="1"/>
  <c r="K11" i="1"/>
  <c r="K12" i="1"/>
  <c r="K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J9" i="1" s="1"/>
  <c r="H10" i="1"/>
  <c r="I10" i="1" s="1"/>
  <c r="H11" i="1"/>
  <c r="I11" i="1" s="1"/>
  <c r="H12" i="1"/>
  <c r="I12" i="1" s="1"/>
  <c r="H3" i="1"/>
  <c r="I3" i="1" s="1"/>
  <c r="G4" i="1"/>
  <c r="M4" i="1" s="1"/>
  <c r="G5" i="1"/>
  <c r="M5" i="1" s="1"/>
  <c r="G6" i="1"/>
  <c r="M6" i="1" s="1"/>
  <c r="N6" i="1" s="1"/>
  <c r="O6" i="1" s="1"/>
  <c r="G7" i="1"/>
  <c r="M7" i="1" s="1"/>
  <c r="N7" i="1" s="1"/>
  <c r="O7" i="1" s="1"/>
  <c r="G8" i="1"/>
  <c r="G9" i="1"/>
  <c r="M9" i="1" s="1"/>
  <c r="G10" i="1"/>
  <c r="G11" i="1"/>
  <c r="M11" i="1" s="1"/>
  <c r="G12" i="1"/>
  <c r="M12" i="1" s="1"/>
  <c r="G3" i="1"/>
  <c r="M3" i="1" s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P4" i="1" l="1"/>
  <c r="P6" i="1"/>
  <c r="P3" i="1"/>
  <c r="P7" i="1"/>
  <c r="K14" i="1"/>
  <c r="J4" i="1"/>
  <c r="J11" i="1"/>
  <c r="J12" i="1"/>
  <c r="N9" i="1"/>
  <c r="O9" i="1" s="1"/>
  <c r="N3" i="1"/>
  <c r="O3" i="1" s="1"/>
  <c r="J6" i="1"/>
  <c r="J5" i="1"/>
  <c r="J10" i="1"/>
  <c r="F14" i="1"/>
  <c r="J3" i="1"/>
  <c r="I14" i="1"/>
  <c r="J8" i="1"/>
  <c r="M10" i="1"/>
  <c r="H14" i="1"/>
  <c r="N4" i="1"/>
  <c r="O4" i="1" s="1"/>
  <c r="G14" i="1"/>
  <c r="M8" i="1"/>
  <c r="N8" i="1" s="1"/>
  <c r="O8" i="1" s="1"/>
  <c r="N12" i="1"/>
  <c r="O12" i="1" s="1"/>
  <c r="N5" i="1"/>
  <c r="O5" i="1" s="1"/>
  <c r="J7" i="1"/>
  <c r="N11" i="1"/>
  <c r="O11" i="1" s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  <c r="P8" i="1" l="1"/>
  <c r="N10" i="1"/>
  <c r="O10" i="1" s="1"/>
  <c r="P10" i="1"/>
  <c r="J14" i="1"/>
  <c r="N14" i="1" l="1"/>
</calcChain>
</file>

<file path=xl/sharedStrings.xml><?xml version="1.0" encoding="utf-8"?>
<sst xmlns="http://schemas.openxmlformats.org/spreadsheetml/2006/main" count="126" uniqueCount="58">
  <si>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</si>
  <si>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</si>
  <si>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</si>
  <si>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</si>
  <si>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</si>
  <si>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</si>
  <si>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</si>
  <si>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</si>
  <si>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</si>
  <si>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</si>
  <si>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</si>
  <si>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</si>
  <si>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</si>
  <si>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</si>
  <si>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</si>
  <si>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</si>
  <si>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</si>
  <si>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</si>
  <si>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</si>
  <si>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</si>
  <si>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</si>
  <si>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</si>
  <si>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</si>
  <si>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</si>
  <si>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</si>
  <si>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</si>
  <si>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</si>
  <si>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</si>
  <si>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</si>
  <si>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</si>
  <si>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</si>
  <si>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</si>
  <si>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</si>
  <si>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</si>
  <si>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</si>
  <si>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</si>
  <si>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</si>
  <si>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</si>
  <si>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</si>
  <si>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</si>
  <si>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</si>
  <si>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</si>
  <si>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</si>
  <si>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</si>
  <si>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</si>
  <si>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</si>
  <si>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</si>
  <si>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</si>
  <si>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</si>
  <si>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</si>
  <si>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</si>
  <si>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</si>
  <si>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</si>
  <si>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AND()</t>
  </si>
  <si>
    <t>Average(by Cell)</t>
  </si>
  <si>
    <t>Average(Average())</t>
  </si>
  <si>
    <t>Total Counts</t>
  </si>
  <si>
    <t>Meets Goals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</si>
</sst>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0" fontId="3" fillId="0" borderId="1" xfId="0" applyFont="1" applyBorder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0" fontId="4" fillId="2" borderId="1" xfId="0" applyFont="1" applyFill="1" applyBorder="1" applyAlignment="1">
      <alignment horizontal="center" wrapText="1"/>
    </xf>
    <xf numFmtId="0" fontId="3" fillId="0" borderId="11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5" xfId="0" applyFont="1" applyBorder="1"/>
    <xf numFmtId="165" fontId="3" fillId="0" borderId="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2:S17"/>
  <sheetViews>
    <sheetView tabSelected="1" zoomScale="70" zoomScaleNormal="70" workbookViewId="0">
      <selection activeCell="P17" sqref="P17"/>
    </sheetView>
  </sheetViews>
  <sheetFormatPr defaultColWidth="17.28515625" defaultRowHeight="15" x14ac:dyDescent="0.25"/>
  <cols>
    <col min="1" max="5" width="17.28515625" style="4"/>
    <col min="6" max="11" width="0" style="4" hidden="1" customWidth="1"/>
    <col min="12" max="13" width="17.28515625" style="4" customWidth="1"/>
    <col min="14" max="14" width="17.28515625" style="4" hidden="1" customWidth="1"/>
    <col min="15" max="16384" width="17.28515625" style="4"/>
  </cols>
  <sheetData>
    <row r="2" spans="2:19" ht="27.75" customHeight="1" thickBot="1" x14ac:dyDescent="0.3">
      <c r="B2" s="34" t="s">
        <v>10</v>
      </c>
      <c r="C2" s="34" t="s">
        <v>12</v>
      </c>
      <c r="D2" s="34" t="s">
        <v>11</v>
      </c>
      <c r="E2" s="34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32" t="s">
        <v>50</v>
      </c>
      <c r="P2" s="32" t="s">
        <v>53</v>
      </c>
      <c r="R2" s="29" t="s">
        <v>51</v>
      </c>
    </row>
    <row r="3" spans="2:19" x14ac:dyDescent="0.25">
      <c r="B3" s="9" t="s">
        <v>0</v>
      </c>
      <c r="C3" s="9">
        <v>5</v>
      </c>
      <c r="D3" s="9">
        <v>120000</v>
      </c>
      <c r="E3" s="9">
        <v>10000</v>
      </c>
      <c r="F3" s="4">
        <f>C3</f>
        <v>5</v>
      </c>
      <c r="G3" s="4">
        <f>E3+D3</f>
        <v>130000</v>
      </c>
      <c r="H3" s="30">
        <f>E3/D3</f>
        <v>8.3333333333333329E-2</v>
      </c>
      <c r="I3" s="4">
        <f>(H3*D3)+D3</f>
        <v>130000</v>
      </c>
      <c r="J3" s="4" t="b">
        <f>G3=I3</f>
        <v>1</v>
      </c>
      <c r="K3" s="4" t="b">
        <f>E3&gt;D3</f>
        <v>0</v>
      </c>
      <c r="L3" s="4" t="b">
        <f>S$3&lt;=C3</f>
        <v>1</v>
      </c>
      <c r="M3" s="4" t="b">
        <f>G3&gt;=S$4</f>
        <v>1</v>
      </c>
      <c r="N3" s="4">
        <f>L3*M3</f>
        <v>1</v>
      </c>
      <c r="O3" s="33" t="b">
        <f>N3=1</f>
        <v>1</v>
      </c>
      <c r="P3" s="33" t="b">
        <f>AND(M3,L3)</f>
        <v>1</v>
      </c>
      <c r="R3" s="25" t="s">
        <v>48</v>
      </c>
      <c r="S3" s="26">
        <v>5</v>
      </c>
    </row>
    <row r="4" spans="2:19" ht="15.75" thickBot="1" x14ac:dyDescent="0.3">
      <c r="B4" s="9" t="s">
        <v>1</v>
      </c>
      <c r="C4" s="9">
        <v>4</v>
      </c>
      <c r="D4" s="9">
        <v>135000</v>
      </c>
      <c r="E4" s="9">
        <v>12000</v>
      </c>
      <c r="F4" s="4">
        <f t="shared" ref="F4:F12" si="0">C4</f>
        <v>4</v>
      </c>
      <c r="G4" s="4">
        <f t="shared" ref="G4:G12" si="1">E4+D4</f>
        <v>147000</v>
      </c>
      <c r="H4" s="30">
        <f t="shared" ref="H4:H12" si="2">E4/D4</f>
        <v>8.8888888888888892E-2</v>
      </c>
      <c r="I4" s="4">
        <f t="shared" ref="I4:I12" si="3">(H4*D4)+D4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>S$3&lt;=C4</f>
        <v>0</v>
      </c>
      <c r="M4" s="4" t="b">
        <f>G4&gt;=S$4</f>
        <v>1</v>
      </c>
      <c r="N4" s="4">
        <f t="shared" ref="N4:N12" si="6">L4*M4</f>
        <v>0</v>
      </c>
      <c r="O4" s="33" t="b">
        <f t="shared" ref="O4:O12" si="7">N4=1</f>
        <v>0</v>
      </c>
      <c r="P4" s="33" t="b">
        <f t="shared" ref="P4:P12" si="8">AND(M4,L4)</f>
        <v>0</v>
      </c>
      <c r="R4" s="27" t="s">
        <v>49</v>
      </c>
      <c r="S4" s="28">
        <v>90000</v>
      </c>
    </row>
    <row r="5" spans="2:19" x14ac:dyDescent="0.25">
      <c r="B5" s="9" t="s">
        <v>2</v>
      </c>
      <c r="C5" s="9">
        <v>2</v>
      </c>
      <c r="D5" s="9">
        <v>75000</v>
      </c>
      <c r="E5" s="9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>S$3&lt;=C5</f>
        <v>0</v>
      </c>
      <c r="M5" s="4" t="b">
        <f>G5&gt;=S$4</f>
        <v>0</v>
      </c>
      <c r="N5" s="4">
        <f t="shared" si="6"/>
        <v>0</v>
      </c>
      <c r="O5" s="33" t="b">
        <f t="shared" si="7"/>
        <v>0</v>
      </c>
      <c r="P5" s="33" t="b">
        <f t="shared" si="8"/>
        <v>0</v>
      </c>
    </row>
    <row r="6" spans="2:19" x14ac:dyDescent="0.25">
      <c r="B6" s="9" t="s">
        <v>3</v>
      </c>
      <c r="C6" s="9">
        <v>6</v>
      </c>
      <c r="D6" s="9">
        <v>110000</v>
      </c>
      <c r="E6" s="9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>S$3&lt;=C6</f>
        <v>1</v>
      </c>
      <c r="M6" s="4" t="b">
        <f>G6&gt;=S$4</f>
        <v>1</v>
      </c>
      <c r="N6" s="4">
        <f t="shared" si="6"/>
        <v>1</v>
      </c>
      <c r="O6" s="33" t="b">
        <f t="shared" si="7"/>
        <v>1</v>
      </c>
      <c r="P6" s="33" t="b">
        <f t="shared" si="8"/>
        <v>1</v>
      </c>
    </row>
    <row r="7" spans="2:19" x14ac:dyDescent="0.25">
      <c r="B7" s="9" t="s">
        <v>4</v>
      </c>
      <c r="C7" s="9">
        <v>3</v>
      </c>
      <c r="D7" s="9">
        <v>125000</v>
      </c>
      <c r="E7" s="9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>S$3&lt;=C7</f>
        <v>0</v>
      </c>
      <c r="M7" s="4" t="b">
        <f>G7&gt;=S$4</f>
        <v>1</v>
      </c>
      <c r="N7" s="4">
        <f t="shared" si="6"/>
        <v>0</v>
      </c>
      <c r="O7" s="33" t="b">
        <f t="shared" si="7"/>
        <v>0</v>
      </c>
      <c r="P7" s="33" t="b">
        <f t="shared" si="8"/>
        <v>0</v>
      </c>
    </row>
    <row r="8" spans="2:19" x14ac:dyDescent="0.25">
      <c r="B8" s="9" t="s">
        <v>5</v>
      </c>
      <c r="C8" s="9">
        <v>7</v>
      </c>
      <c r="D8" s="9">
        <v>90000</v>
      </c>
      <c r="E8" s="9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>S$3&lt;=C8</f>
        <v>1</v>
      </c>
      <c r="M8" s="4" t="b">
        <f>G8&gt;=S$4</f>
        <v>1</v>
      </c>
      <c r="N8" s="4">
        <f t="shared" si="6"/>
        <v>1</v>
      </c>
      <c r="O8" s="33" t="b">
        <f t="shared" si="7"/>
        <v>1</v>
      </c>
      <c r="P8" s="33" t="b">
        <f t="shared" si="8"/>
        <v>1</v>
      </c>
    </row>
    <row r="9" spans="2:19" x14ac:dyDescent="0.25">
      <c r="B9" s="9" t="s">
        <v>6</v>
      </c>
      <c r="C9" s="9">
        <v>10</v>
      </c>
      <c r="D9" s="9">
        <v>150000</v>
      </c>
      <c r="E9" s="9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>S$3&lt;=C9</f>
        <v>1</v>
      </c>
      <c r="M9" s="4" t="b">
        <f>G9&gt;=S$4</f>
        <v>1</v>
      </c>
      <c r="N9" s="4">
        <f t="shared" si="6"/>
        <v>1</v>
      </c>
      <c r="O9" s="33" t="b">
        <f t="shared" si="7"/>
        <v>1</v>
      </c>
      <c r="P9" s="33" t="b">
        <f t="shared" si="8"/>
        <v>1</v>
      </c>
    </row>
    <row r="10" spans="2:19" x14ac:dyDescent="0.25">
      <c r="B10" s="9" t="s">
        <v>7</v>
      </c>
      <c r="C10" s="9">
        <v>8</v>
      </c>
      <c r="D10" s="9">
        <v>130000</v>
      </c>
      <c r="E10" s="9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>S$3&lt;=C10</f>
        <v>1</v>
      </c>
      <c r="M10" s="4" t="b">
        <f>G10&gt;=S$4</f>
        <v>1</v>
      </c>
      <c r="N10" s="4">
        <f t="shared" si="6"/>
        <v>1</v>
      </c>
      <c r="O10" s="33" t="b">
        <f t="shared" si="7"/>
        <v>1</v>
      </c>
      <c r="P10" s="33" t="b">
        <f t="shared" si="8"/>
        <v>1</v>
      </c>
    </row>
    <row r="11" spans="2:19" x14ac:dyDescent="0.25">
      <c r="B11" s="9" t="s">
        <v>8</v>
      </c>
      <c r="C11" s="9">
        <v>3</v>
      </c>
      <c r="D11" s="9">
        <v>140000</v>
      </c>
      <c r="E11" s="9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>S$3&lt;=C11</f>
        <v>0</v>
      </c>
      <c r="M11" s="4" t="b">
        <f>G11&gt;=S$4</f>
        <v>1</v>
      </c>
      <c r="N11" s="4">
        <f t="shared" si="6"/>
        <v>0</v>
      </c>
      <c r="O11" s="33" t="b">
        <f t="shared" si="7"/>
        <v>0</v>
      </c>
      <c r="P11" s="33" t="b">
        <f t="shared" si="8"/>
        <v>0</v>
      </c>
    </row>
    <row r="12" spans="2:19" ht="15.75" thickBot="1" x14ac:dyDescent="0.3">
      <c r="B12" s="35" t="s">
        <v>9</v>
      </c>
      <c r="C12" s="35">
        <v>5</v>
      </c>
      <c r="D12" s="35">
        <v>115000</v>
      </c>
      <c r="E12" s="35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>S$3&lt;=C12</f>
        <v>1</v>
      </c>
      <c r="M12" s="4" t="b">
        <f>G12&gt;=S$4</f>
        <v>1</v>
      </c>
      <c r="N12" s="4">
        <f t="shared" si="6"/>
        <v>1</v>
      </c>
      <c r="O12" s="33" t="b">
        <f t="shared" si="7"/>
        <v>1</v>
      </c>
      <c r="P12" s="33" t="b">
        <f t="shared" si="8"/>
        <v>1</v>
      </c>
    </row>
    <row r="13" spans="2:19" x14ac:dyDescent="0.25">
      <c r="B13" s="36" t="s">
        <v>54</v>
      </c>
      <c r="C13" s="37">
        <f>(C3+C5+C4+C6+C7+C8+C9+C10+C11+C12)/10</f>
        <v>5.3</v>
      </c>
      <c r="D13" s="37">
        <f t="shared" ref="D13:E13" si="9">(D3+D5+D4+D6+D7+D8+D9+D10+D11+D12)/10</f>
        <v>119000</v>
      </c>
      <c r="E13" s="37">
        <f t="shared" si="9"/>
        <v>10400</v>
      </c>
    </row>
    <row r="14" spans="2:19" ht="15.75" thickBot="1" x14ac:dyDescent="0.3">
      <c r="B14" s="38" t="s">
        <v>55</v>
      </c>
      <c r="C14" s="40">
        <f>AVERAGE(C3:C12)</f>
        <v>5.3</v>
      </c>
      <c r="D14" s="40">
        <f t="shared" ref="D14:N14" si="10">AVERAGE(D3:D12)</f>
        <v>119000</v>
      </c>
      <c r="E14" s="40">
        <f t="shared" si="10"/>
        <v>10400</v>
      </c>
      <c r="F14" s="40">
        <f t="shared" si="10"/>
        <v>5.3</v>
      </c>
      <c r="G14" s="40">
        <f t="shared" si="10"/>
        <v>129400</v>
      </c>
      <c r="H14" s="40">
        <f t="shared" si="10"/>
        <v>8.5565480895915674E-2</v>
      </c>
      <c r="I14" s="40">
        <f t="shared" si="10"/>
        <v>129400</v>
      </c>
      <c r="J14" s="40" t="e">
        <f t="shared" si="10"/>
        <v>#DIV/0!</v>
      </c>
      <c r="K14" s="40" t="e">
        <f t="shared" si="10"/>
        <v>#DIV/0!</v>
      </c>
      <c r="L14" s="40"/>
      <c r="M14" s="40"/>
      <c r="N14" s="40">
        <f t="shared" si="10"/>
        <v>0.6</v>
      </c>
    </row>
    <row r="15" spans="2:19" x14ac:dyDescent="0.25">
      <c r="B15" s="36" t="s">
        <v>56</v>
      </c>
      <c r="C15" s="37">
        <f>COUNT(C3:C12)</f>
        <v>10</v>
      </c>
      <c r="D15" s="37">
        <f t="shared" ref="D15:E15" si="11">COUNT(D3:D12)</f>
        <v>10</v>
      </c>
      <c r="E15" s="37">
        <f t="shared" si="11"/>
        <v>10</v>
      </c>
    </row>
    <row r="16" spans="2:19" x14ac:dyDescent="0.25">
      <c r="B16" s="39" t="s">
        <v>57</v>
      </c>
      <c r="C16" s="31">
        <f>COUNTIF($C$3:$C$12, "&lt;=5")</f>
        <v>6</v>
      </c>
      <c r="D16" s="31">
        <f>COUNTIF($D$3:$D$12, "&gt;=90000")</f>
        <v>9</v>
      </c>
      <c r="E16" s="31"/>
    </row>
    <row r="17" spans="2:5" ht="15.75" thickBot="1" x14ac:dyDescent="0.3">
      <c r="B17" s="38" t="s">
        <v>57</v>
      </c>
      <c r="C17" s="31">
        <f>COUNTIF($C$3:$C$12, "&lt;="&amp;S3)</f>
        <v>6</v>
      </c>
      <c r="D17" s="31">
        <f>COUNTIF($D$3:$D$12, "&gt;="&amp;S4)</f>
        <v>9</v>
      </c>
      <c r="E17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topLeftCell="K1"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Omowonuola Ogedengbe</cp:lastModifiedBy>
  <dcterms:created xsi:type="dcterms:W3CDTF">2024-07-16T20:11:02Z</dcterms:created>
  <dcterms:modified xsi:type="dcterms:W3CDTF">2025-10-19T13:12:30Z</dcterms:modified>
</cp:coreProperties>
</file>