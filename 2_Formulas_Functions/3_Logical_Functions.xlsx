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data analysiss\drive-download-20251013T143408Z-1-001\2_Formulas_Functions\"/>
    </mc:Choice>
  </mc:AlternateContent>
  <xr:revisionPtr revIDLastSave="0" documentId="13_ncr:1_{A39EBFE9-8CDB-4491-A3F5-D0101CDAB86B}" xr6:coauthVersionLast="47" xr6:coauthVersionMax="47" xr10:uidLastSave="{00000000-0000-0000-0000-000000000000}"/>
  <bookViews>
    <workbookView xWindow="-105" yWindow="0" windowWidth="14610" windowHeight="15585" activeTab="2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3" i="10" l="1" a="1"/>
  <c r="R3" i="10" s="1"/>
  <c r="R4" i="10" a="1"/>
  <c r="R4" i="10" s="1"/>
  <c r="R5" i="10" a="1"/>
  <c r="R5" i="10"/>
  <c r="R6" i="10" a="1"/>
  <c r="R6" i="10" s="1"/>
  <c r="R7" i="10" a="1"/>
  <c r="R7" i="10" s="1"/>
  <c r="R8" i="10" a="1"/>
  <c r="R8" i="10"/>
  <c r="R9" i="10" a="1"/>
  <c r="R9" i="10"/>
  <c r="R10" i="10" a="1"/>
  <c r="R10" i="10"/>
  <c r="R11" i="10" a="1"/>
  <c r="R11" i="10" s="1"/>
  <c r="R12" i="10" a="1"/>
  <c r="R12" i="10"/>
  <c r="R13" i="10" a="1"/>
  <c r="R13" i="10"/>
  <c r="R14" i="10" a="1"/>
  <c r="R14" i="10"/>
  <c r="R15" i="10" a="1"/>
  <c r="R15" i="10" s="1"/>
  <c r="R16" i="10" a="1"/>
  <c r="R16" i="10"/>
  <c r="R17" i="10" a="1"/>
  <c r="R17" i="10"/>
  <c r="R18" i="10" a="1"/>
  <c r="R18" i="10"/>
  <c r="R19" i="10" a="1"/>
  <c r="R19" i="10" s="1"/>
  <c r="R20" i="10" a="1"/>
  <c r="R20" i="10"/>
  <c r="R21" i="10" a="1"/>
  <c r="R21" i="10"/>
  <c r="R2" i="10" a="1"/>
  <c r="R2" i="10" s="1"/>
  <c r="Q3" i="10"/>
  <c r="Q4" i="10"/>
  <c r="Q5" i="10"/>
  <c r="Q6" i="10"/>
  <c r="Q7" i="10"/>
  <c r="Q8" i="10"/>
  <c r="Q9" i="10"/>
  <c r="Q10" i="10"/>
  <c r="Q11" i="10"/>
  <c r="Q12" i="10"/>
  <c r="Q13" i="10"/>
  <c r="Q14" i="10"/>
  <c r="Q15" i="10"/>
  <c r="Q16" i="10"/>
  <c r="Q17" i="10"/>
  <c r="Q18" i="10"/>
  <c r="Q19" i="10"/>
  <c r="Q20" i="10"/>
  <c r="Q21" i="10"/>
  <c r="Q2" i="10"/>
  <c r="P3" i="10"/>
  <c r="P4" i="10"/>
  <c r="P5" i="10"/>
  <c r="P6" i="10"/>
  <c r="P7" i="10"/>
  <c r="P8" i="10"/>
  <c r="P9" i="10"/>
  <c r="P10" i="10"/>
  <c r="P11" i="10"/>
  <c r="P12" i="10"/>
  <c r="P13" i="10"/>
  <c r="P14" i="10"/>
  <c r="P15" i="10"/>
  <c r="P16" i="10"/>
  <c r="P17" i="10"/>
  <c r="P18" i="10"/>
  <c r="P19" i="10"/>
  <c r="P20" i="10"/>
  <c r="P21" i="10"/>
  <c r="P2" i="10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" i="10"/>
  <c r="N2" i="10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" i="10"/>
  <c r="L2" i="10"/>
  <c r="K2" i="10"/>
  <c r="L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17" i="10"/>
  <c r="L18" i="10"/>
  <c r="L19" i="10"/>
  <c r="L20" i="10"/>
  <c r="L21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3" i="10"/>
  <c r="Q4" i="7"/>
  <c r="Q5" i="7"/>
  <c r="Q6" i="7"/>
  <c r="Q7" i="7"/>
  <c r="Q8" i="7"/>
  <c r="Q9" i="7"/>
  <c r="Q10" i="7"/>
  <c r="Q11" i="7"/>
  <c r="Q12" i="7"/>
  <c r="Q3" i="7"/>
  <c r="M2" i="1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3" i="11" s="1"/>
  <c r="R4" i="11" a="1"/>
  <c r="R4" i="11" s="1"/>
  <c r="R5" i="11" a="1"/>
  <c r="R5" i="11" s="1"/>
  <c r="R6" i="11" a="1"/>
  <c r="R6" i="11" s="1"/>
  <c r="R7" i="11" a="1"/>
  <c r="R7" i="11" s="1"/>
  <c r="R8" i="11" a="1"/>
  <c r="R8" i="11" s="1"/>
  <c r="R9" i="11" a="1"/>
  <c r="R9" i="11" s="1"/>
  <c r="R10" i="11" a="1"/>
  <c r="R10" i="11" s="1"/>
  <c r="R11" i="11" a="1"/>
  <c r="R11" i="11"/>
  <c r="R12" i="11" a="1"/>
  <c r="R12" i="11" s="1"/>
  <c r="R13" i="11" a="1"/>
  <c r="R13" i="11" s="1"/>
  <c r="R14" i="11" a="1"/>
  <c r="R14" i="11" s="1"/>
  <c r="R15" i="11" a="1"/>
  <c r="R15" i="11" s="1"/>
  <c r="R16" i="11" a="1"/>
  <c r="R16" i="11" s="1"/>
  <c r="R17" i="11" a="1"/>
  <c r="R17" i="11" s="1"/>
  <c r="R18" i="11" a="1"/>
  <c r="R18" i="11" s="1"/>
  <c r="R19" i="11" a="1"/>
  <c r="R19" i="11"/>
  <c r="R20" i="11" a="1"/>
  <c r="R20" i="11" s="1"/>
  <c r="R21" i="11" a="1"/>
  <c r="R21" i="11" s="1"/>
  <c r="R2" i="11" a="1"/>
  <c r="R2" i="11" s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B6" i="8" s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<sst xmlns="http://schemas.openxmlformats.org/spreadsheetml/2006/main" count="395" uniqueCount="144">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</sst>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05" zoomScaleNormal="120" workbookViewId="0">
      <selection activeCell="Q3" sqref="Q3:Q12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8.28515625" style="1" bestFit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customWidth="1"/>
    <col min="13" max="13" width="9.140625" style="1" customWidth="1"/>
    <col min="14" max="14" width="10.42578125" style="1" hidden="1" customWidth="1"/>
    <col min="15" max="15" width="14.140625" style="1" hidden="1" customWidth="1"/>
    <col min="16" max="16" width="9.7109375" style="1" customWidth="1"/>
    <col min="17" max="17" width="9.140625" style="1"/>
    <col min="18" max="18" width="14.140625" style="1" bestFit="1" customWidth="1"/>
    <col min="19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2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zoomScale="120" zoomScaleNormal="120" workbookViewId="0">
      <selection activeCell="S6" sqref="S6"/>
    </sheetView>
  </sheetViews>
  <sheetFormatPr defaultColWidth="9.140625" defaultRowHeight="15" x14ac:dyDescent="0.25"/>
  <cols>
    <col min="1" max="1" width="5.140625" style="1" customWidth="1"/>
    <col min="2" max="2" width="22.7109375" style="1" bestFit="1" customWidth="1"/>
    <col min="3" max="3" width="10.42578125" style="1" customWidth="1"/>
    <col min="4" max="4" width="12.28515625" style="1" customWidth="1"/>
    <col min="5" max="5" width="11.5703125" style="1" customWidth="1"/>
    <col min="6" max="6" width="10.5703125" style="1" hidden="1" customWidth="1"/>
    <col min="7" max="7" width="9.140625" style="1" hidden="1" customWidth="1"/>
    <col min="8" max="9" width="11.140625" style="1" hidden="1" customWidth="1"/>
    <col min="10" max="10" width="17.28515625" style="1" hidden="1" customWidth="1"/>
    <col min="11" max="11" width="14.28515625" style="1" hidden="1" customWidth="1"/>
    <col min="12" max="12" width="10.28515625" style="1" hidden="1" customWidth="1"/>
    <col min="13" max="13" width="9.140625" style="1" hidden="1" customWidth="1"/>
    <col min="14" max="14" width="10.42578125" style="1" hidden="1" customWidth="1"/>
    <col min="15" max="15" width="14.140625" style="1" hidden="1" customWidth="1"/>
    <col min="16" max="16" width="9.7109375" style="1" hidden="1" customWidth="1"/>
    <col min="17" max="17" width="9.7109375" style="1" customWidth="1"/>
    <col min="18" max="18" width="9.140625" style="1"/>
    <col min="19" max="19" width="14.140625" style="1" bestFit="1" customWidth="1"/>
    <col min="20" max="16384" width="9.140625" style="1"/>
  </cols>
  <sheetData>
    <row r="1" spans="2:17" ht="15.75" thickBot="1" x14ac:dyDescent="0.3">
      <c r="G1" s="25"/>
    </row>
    <row r="2" spans="2:17" s="11" customFormat="1" ht="27.75" customHeight="1" thickBot="1" x14ac:dyDescent="0.3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.75" thickBot="1" x14ac:dyDescent="0.3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.75" thickBot="1" x14ac:dyDescent="0.3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.75" thickBot="1" x14ac:dyDescent="0.3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.75" thickBot="1" x14ac:dyDescent="0.3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.75" thickBot="1" x14ac:dyDescent="0.3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.75" thickBot="1" x14ac:dyDescent="0.3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.75" thickBot="1" x14ac:dyDescent="0.3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.75" thickBot="1" x14ac:dyDescent="0.3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.75" thickBot="1" x14ac:dyDescent="0.3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.75" thickBot="1" x14ac:dyDescent="0.3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.75" thickBot="1" x14ac:dyDescent="0.3">
      <c r="B14" s="17" t="s">
        <v>25</v>
      </c>
    </row>
    <row r="15" spans="2:17" x14ac:dyDescent="0.25">
      <c r="B15" s="13" t="s">
        <v>22</v>
      </c>
      <c r="C15" s="14">
        <v>5</v>
      </c>
    </row>
    <row r="16" spans="2:17" ht="15.75" thickBot="1" x14ac:dyDescent="0.3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tabSelected="1" zoomScale="115" zoomScaleNormal="115" workbookViewId="0">
      <selection activeCell="S3" sqref="S3"/>
    </sheetView>
  </sheetViews>
  <sheetFormatPr defaultColWidth="13.85546875" defaultRowHeight="15" x14ac:dyDescent="0.25"/>
  <cols>
    <col min="2" max="7" width="0" hidden="1" customWidth="1"/>
    <col min="9" max="15" width="0" hidden="1" customWidth="1"/>
  </cols>
  <sheetData>
    <row r="1" spans="1:18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  <c r="K2" t="str">
        <f>IF(A2=K$1, "Role desired", "Not desired")</f>
        <v>Not desired</v>
      </c>
      <c r="L2" t="str">
        <f>IF($A2=L$1, "Role desired", "Not desired")</f>
        <v>Not desired</v>
      </c>
      <c r="M2" t="str">
        <f>IF(A2=K$1,"Role desired",IF($A2=L$1,"Role desired","Not desired"))</f>
        <v>Not desired</v>
      </c>
      <c r="N2" t="b">
        <f>AND($A2=$K$1, $A2=$L$1)</f>
        <v>0</v>
      </c>
      <c r="O2" t="b">
        <f>OR($A2=$K$1, $A2=$L$1)</f>
        <v>0</v>
      </c>
      <c r="P2" t="str">
        <f>IF(O2, "Role desired", "Not desired")</f>
        <v>Not desired</v>
      </c>
      <c r="Q2" t="str">
        <f>IF(H2&gt;$Q$1, "salary high","salary low")</f>
        <v>salary high</v>
      </c>
      <c r="R2" t="str" cm="1">
        <f t="array" ref="R2">_xlfn.IFS($H2="", "No data", $H2&gt;=$Q$1,"salary high", TRUE, "salary  low")</f>
        <v>salary high</v>
      </c>
    </row>
    <row r="3" spans="1:18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  <c r="K3" t="str">
        <f>IF(A3=K$1, "Role desired", "Not desired")</f>
        <v>Role desired</v>
      </c>
      <c r="L3" t="str">
        <f t="shared" ref="L3:L21" si="0">IF($A3=L$1, "Role desired", "Not desired")</f>
        <v>Not desired</v>
      </c>
      <c r="M3" t="str">
        <f t="shared" ref="M3:M21" si="1">IF(A3=K$1,"Role desired",IF($A3=L$1,"Role desired","Not desired"))</f>
        <v>Role desired</v>
      </c>
      <c r="N3" t="b">
        <f t="shared" ref="N3:N21" si="2">AND($A3=$K$1, $A3=$L$1)</f>
        <v>0</v>
      </c>
      <c r="O3" t="b">
        <f t="shared" ref="O3:O21" si="3">OR($A3=$K$1, $A3=$L$1)</f>
        <v>1</v>
      </c>
      <c r="P3" t="str">
        <f t="shared" ref="P3:P21" si="4">IF(O3, "Role desired", "Not desired")</f>
        <v>Role desired</v>
      </c>
      <c r="Q3" t="str">
        <f t="shared" ref="Q3:Q21" si="5">IF(H3&gt;$Q$1, "salary high","salary low")</f>
        <v>salary low</v>
      </c>
      <c r="R3" t="str" cm="1">
        <f t="array" ref="R3">_xlfn.IFS($H3="", "No data", $H3&gt;=$Q$1,"salary high", TRUE, "salary  low")</f>
        <v>salary  low</v>
      </c>
    </row>
    <row r="4" spans="1:18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  <c r="K4" t="str">
        <f t="shared" ref="K4:K21" si="6">IF(A4=K$1, "Role desired", "Not desired")</f>
        <v>Role desired</v>
      </c>
      <c r="L4" t="str">
        <f t="shared" si="0"/>
        <v>Not desired</v>
      </c>
      <c r="M4" t="str">
        <f t="shared" si="1"/>
        <v>Role desired</v>
      </c>
      <c r="N4" t="b">
        <f t="shared" si="2"/>
        <v>0</v>
      </c>
      <c r="O4" t="b">
        <f t="shared" si="3"/>
        <v>1</v>
      </c>
      <c r="P4" t="str">
        <f t="shared" si="4"/>
        <v>Role desired</v>
      </c>
      <c r="Q4" t="str">
        <f t="shared" si="5"/>
        <v>salary low</v>
      </c>
      <c r="R4" t="str" cm="1">
        <f t="array" ref="R4">_xlfn.IFS($H4="", "No data", $H4&gt;=$Q$1,"salary high", TRUE, "salary  low")</f>
        <v>No data</v>
      </c>
    </row>
    <row r="5" spans="1:18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  <c r="K5" t="str">
        <f t="shared" si="6"/>
        <v>Not desired</v>
      </c>
      <c r="L5" t="str">
        <f t="shared" si="0"/>
        <v>Not desired</v>
      </c>
      <c r="M5" t="str">
        <f t="shared" si="1"/>
        <v>Not desired</v>
      </c>
      <c r="N5" t="b">
        <f t="shared" si="2"/>
        <v>0</v>
      </c>
      <c r="O5" t="b">
        <f t="shared" si="3"/>
        <v>0</v>
      </c>
      <c r="P5" t="str">
        <f t="shared" si="4"/>
        <v>Not desired</v>
      </c>
      <c r="Q5" t="str">
        <f t="shared" si="5"/>
        <v>salary low</v>
      </c>
      <c r="R5" t="str" cm="1">
        <f t="array" ref="R5">_xlfn.IFS($H5="", "No data", $H5&gt;=$Q$1,"salary high", TRUE, "salary  low")</f>
        <v>No data</v>
      </c>
    </row>
    <row r="6" spans="1:18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  <c r="K6" t="str">
        <f t="shared" si="6"/>
        <v>Not desired</v>
      </c>
      <c r="L6" t="str">
        <f t="shared" si="0"/>
        <v>Not desired</v>
      </c>
      <c r="M6" t="str">
        <f t="shared" si="1"/>
        <v>Not desired</v>
      </c>
      <c r="N6" t="b">
        <f t="shared" si="2"/>
        <v>0</v>
      </c>
      <c r="O6" t="b">
        <f t="shared" si="3"/>
        <v>0</v>
      </c>
      <c r="P6" t="str">
        <f t="shared" si="4"/>
        <v>Not desired</v>
      </c>
      <c r="Q6" t="str">
        <f t="shared" si="5"/>
        <v>salary low</v>
      </c>
      <c r="R6" t="str" cm="1">
        <f t="array" ref="R6">_xlfn.IFS($H6="", "No data", $H6&gt;=$Q$1,"salary high", TRUE, "salary  low")</f>
        <v>No data</v>
      </c>
    </row>
    <row r="7" spans="1:18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  <c r="K7" t="str">
        <f t="shared" si="6"/>
        <v>Not desired</v>
      </c>
      <c r="L7" t="str">
        <f t="shared" si="0"/>
        <v>Not desired</v>
      </c>
      <c r="M7" t="str">
        <f t="shared" si="1"/>
        <v>Not desired</v>
      </c>
      <c r="N7" t="b">
        <f t="shared" si="2"/>
        <v>0</v>
      </c>
      <c r="O7" t="b">
        <f t="shared" si="3"/>
        <v>0</v>
      </c>
      <c r="P7" t="str">
        <f t="shared" si="4"/>
        <v>Not desired</v>
      </c>
      <c r="Q7" t="str">
        <f t="shared" si="5"/>
        <v>salary low</v>
      </c>
      <c r="R7" t="str" cm="1">
        <f t="array" ref="R7">_xlfn.IFS($H7="", "No data", $H7&gt;=$Q$1,"salary high", TRUE, "salary  low")</f>
        <v>No data</v>
      </c>
    </row>
    <row r="8" spans="1:18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  <c r="K8" t="str">
        <f t="shared" si="6"/>
        <v>Role desired</v>
      </c>
      <c r="L8" t="str">
        <f t="shared" si="0"/>
        <v>Not desired</v>
      </c>
      <c r="M8" t="str">
        <f t="shared" si="1"/>
        <v>Role desired</v>
      </c>
      <c r="N8" t="b">
        <f t="shared" si="2"/>
        <v>0</v>
      </c>
      <c r="O8" t="b">
        <f t="shared" si="3"/>
        <v>1</v>
      </c>
      <c r="P8" t="str">
        <f t="shared" si="4"/>
        <v>Role desired</v>
      </c>
      <c r="Q8" t="str">
        <f t="shared" si="5"/>
        <v>salary low</v>
      </c>
      <c r="R8" t="str" cm="1">
        <f t="array" ref="R8">_xlfn.IFS($H8="", "No data", $H8&gt;=$Q$1,"salary high", TRUE, "salary  low")</f>
        <v>No data</v>
      </c>
    </row>
    <row r="9" spans="1:18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  <c r="K9" t="str">
        <f t="shared" si="6"/>
        <v>Role desired</v>
      </c>
      <c r="L9" t="str">
        <f t="shared" si="0"/>
        <v>Not desired</v>
      </c>
      <c r="M9" t="str">
        <f t="shared" si="1"/>
        <v>Role desired</v>
      </c>
      <c r="N9" t="b">
        <f t="shared" si="2"/>
        <v>0</v>
      </c>
      <c r="O9" t="b">
        <f t="shared" si="3"/>
        <v>1</v>
      </c>
      <c r="P9" t="str">
        <f t="shared" si="4"/>
        <v>Role desired</v>
      </c>
      <c r="Q9" t="str">
        <f t="shared" si="5"/>
        <v>salary high</v>
      </c>
      <c r="R9" t="str" cm="1">
        <f t="array" ref="R9">_xlfn.IFS($H9="", "No data", $H9&gt;=$Q$1,"salary high", TRUE, "salary  low")</f>
        <v>salary high</v>
      </c>
    </row>
    <row r="10" spans="1:18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  <c r="K10" t="str">
        <f t="shared" si="6"/>
        <v>Role desired</v>
      </c>
      <c r="L10" t="str">
        <f t="shared" si="0"/>
        <v>Not desired</v>
      </c>
      <c r="M10" t="str">
        <f t="shared" si="1"/>
        <v>Role desired</v>
      </c>
      <c r="N10" t="b">
        <f t="shared" si="2"/>
        <v>0</v>
      </c>
      <c r="O10" t="b">
        <f t="shared" si="3"/>
        <v>1</v>
      </c>
      <c r="P10" t="str">
        <f t="shared" si="4"/>
        <v>Role desired</v>
      </c>
      <c r="Q10" t="str">
        <f t="shared" si="5"/>
        <v>salary low</v>
      </c>
      <c r="R10" t="str" cm="1">
        <f t="array" ref="R10">_xlfn.IFS($H10="", "No data", $H10&gt;=$Q$1,"salary high", TRUE, "salary  low")</f>
        <v>No data</v>
      </c>
    </row>
    <row r="11" spans="1:18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  <c r="K11" t="str">
        <f t="shared" si="6"/>
        <v>Role desired</v>
      </c>
      <c r="L11" t="str">
        <f t="shared" si="0"/>
        <v>Not desired</v>
      </c>
      <c r="M11" t="str">
        <f t="shared" si="1"/>
        <v>Role desired</v>
      </c>
      <c r="N11" t="b">
        <f t="shared" si="2"/>
        <v>0</v>
      </c>
      <c r="O11" t="b">
        <f t="shared" si="3"/>
        <v>1</v>
      </c>
      <c r="P11" t="str">
        <f t="shared" si="4"/>
        <v>Role desired</v>
      </c>
      <c r="Q11" t="str">
        <f t="shared" si="5"/>
        <v>salary high</v>
      </c>
      <c r="R11" t="str" cm="1">
        <f t="array" ref="R11">_xlfn.IFS($H11="", "No data", $H11&gt;=$Q$1,"salary high", TRUE, "salary  low")</f>
        <v>salary high</v>
      </c>
    </row>
    <row r="12" spans="1:18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  <c r="K12" t="str">
        <f t="shared" si="6"/>
        <v>Not desired</v>
      </c>
      <c r="L12" t="str">
        <f t="shared" si="0"/>
        <v>Not desired</v>
      </c>
      <c r="M12" t="str">
        <f t="shared" si="1"/>
        <v>Not desired</v>
      </c>
      <c r="N12" t="b">
        <f t="shared" si="2"/>
        <v>0</v>
      </c>
      <c r="O12" t="b">
        <f t="shared" si="3"/>
        <v>0</v>
      </c>
      <c r="P12" t="str">
        <f t="shared" si="4"/>
        <v>Not desired</v>
      </c>
      <c r="Q12" t="str">
        <f t="shared" si="5"/>
        <v>salary high</v>
      </c>
      <c r="R12" t="str" cm="1">
        <f t="array" ref="R12">_xlfn.IFS($H12="", "No data", $H12&gt;=$Q$1,"salary high", TRUE, "salary  low")</f>
        <v>salary high</v>
      </c>
    </row>
    <row r="13" spans="1:18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  <c r="K13" t="str">
        <f t="shared" si="6"/>
        <v>Not desired</v>
      </c>
      <c r="L13" t="str">
        <f t="shared" si="0"/>
        <v>Not desired</v>
      </c>
      <c r="M13" t="str">
        <f t="shared" si="1"/>
        <v>Not desired</v>
      </c>
      <c r="N13" t="b">
        <f t="shared" si="2"/>
        <v>0</v>
      </c>
      <c r="O13" t="b">
        <f t="shared" si="3"/>
        <v>0</v>
      </c>
      <c r="P13" t="str">
        <f t="shared" si="4"/>
        <v>Not desired</v>
      </c>
      <c r="Q13" t="str">
        <f t="shared" si="5"/>
        <v>salary high</v>
      </c>
      <c r="R13" t="str" cm="1">
        <f t="array" ref="R13">_xlfn.IFS($H13="", "No data", $H13&gt;=$Q$1,"salary high", TRUE, "salary  low")</f>
        <v>salary high</v>
      </c>
    </row>
    <row r="14" spans="1:18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  <c r="K14" t="str">
        <f t="shared" si="6"/>
        <v>Not desired</v>
      </c>
      <c r="L14" t="str">
        <f t="shared" si="0"/>
        <v>Not desired</v>
      </c>
      <c r="M14" t="str">
        <f t="shared" si="1"/>
        <v>Not desired</v>
      </c>
      <c r="N14" t="b">
        <f t="shared" si="2"/>
        <v>0</v>
      </c>
      <c r="O14" t="b">
        <f t="shared" si="3"/>
        <v>0</v>
      </c>
      <c r="P14" t="str">
        <f t="shared" si="4"/>
        <v>Not desired</v>
      </c>
      <c r="Q14" t="str">
        <f t="shared" si="5"/>
        <v>salary high</v>
      </c>
      <c r="R14" t="str" cm="1">
        <f t="array" ref="R14">_xlfn.IFS($H14="", "No data", $H14&gt;=$Q$1,"salary high", TRUE, "salary  low")</f>
        <v>salary high</v>
      </c>
    </row>
    <row r="15" spans="1:18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  <c r="K15" t="str">
        <f t="shared" si="6"/>
        <v>Not desired</v>
      </c>
      <c r="L15" t="str">
        <f t="shared" si="0"/>
        <v>Not desired</v>
      </c>
      <c r="M15" t="str">
        <f t="shared" si="1"/>
        <v>Not desired</v>
      </c>
      <c r="N15" t="b">
        <f t="shared" si="2"/>
        <v>0</v>
      </c>
      <c r="O15" t="b">
        <f t="shared" si="3"/>
        <v>0</v>
      </c>
      <c r="P15" t="str">
        <f t="shared" si="4"/>
        <v>Not desired</v>
      </c>
      <c r="Q15" t="str">
        <f t="shared" si="5"/>
        <v>salary low</v>
      </c>
      <c r="R15" t="str" cm="1">
        <f t="array" ref="R15">_xlfn.IFS($H15="", "No data", $H15&gt;=$Q$1,"salary high", TRUE, "salary  low")</f>
        <v>salary  low</v>
      </c>
    </row>
    <row r="16" spans="1:18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  <c r="K16" t="str">
        <f t="shared" si="6"/>
        <v>Not desired</v>
      </c>
      <c r="L16" t="str">
        <f t="shared" si="0"/>
        <v>Not desired</v>
      </c>
      <c r="M16" t="str">
        <f t="shared" si="1"/>
        <v>Not desired</v>
      </c>
      <c r="N16" t="b">
        <f t="shared" si="2"/>
        <v>0</v>
      </c>
      <c r="O16" t="b">
        <f t="shared" si="3"/>
        <v>0</v>
      </c>
      <c r="P16" t="str">
        <f t="shared" si="4"/>
        <v>Not desired</v>
      </c>
      <c r="Q16" t="str">
        <f t="shared" si="5"/>
        <v>salary high</v>
      </c>
      <c r="R16" t="str" cm="1">
        <f t="array" ref="R16">_xlfn.IFS($H16="", "No data", $H16&gt;=$Q$1,"salary high", TRUE, "salary  low")</f>
        <v>salary high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  <c r="K17" t="str">
        <f t="shared" si="6"/>
        <v>Not desired</v>
      </c>
      <c r="L17" t="str">
        <f t="shared" si="0"/>
        <v>Not desired</v>
      </c>
      <c r="M17" t="str">
        <f t="shared" si="1"/>
        <v>Not desired</v>
      </c>
      <c r="N17" t="b">
        <f t="shared" si="2"/>
        <v>0</v>
      </c>
      <c r="O17" t="b">
        <f t="shared" si="3"/>
        <v>0</v>
      </c>
      <c r="P17" t="str">
        <f t="shared" si="4"/>
        <v>Not desired</v>
      </c>
      <c r="Q17" t="str">
        <f t="shared" si="5"/>
        <v>salary high</v>
      </c>
      <c r="R17" t="str" cm="1">
        <f t="array" ref="R17">_xlfn.IFS($H17="", "No data", $H17&gt;=$Q$1,"salary high", TRUE, "salary  low")</f>
        <v>salary high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  <c r="K18" t="str">
        <f t="shared" si="6"/>
        <v>Not desired</v>
      </c>
      <c r="L18" t="str">
        <f t="shared" si="0"/>
        <v>Role desired</v>
      </c>
      <c r="M18" t="str">
        <f t="shared" si="1"/>
        <v>Role desired</v>
      </c>
      <c r="N18" t="b">
        <f t="shared" si="2"/>
        <v>0</v>
      </c>
      <c r="O18" t="b">
        <f t="shared" si="3"/>
        <v>1</v>
      </c>
      <c r="P18" t="str">
        <f t="shared" si="4"/>
        <v>Role desired</v>
      </c>
      <c r="Q18" t="str">
        <f t="shared" si="5"/>
        <v>salary low</v>
      </c>
      <c r="R18" t="str" cm="1">
        <f t="array" ref="R18">_xlfn.IFS($H18="", "No data", $H18&gt;=$Q$1,"salary high", TRUE, "salary 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  <c r="K19" t="str">
        <f t="shared" si="6"/>
        <v>Not desired</v>
      </c>
      <c r="L19" t="str">
        <f t="shared" si="0"/>
        <v>Not desired</v>
      </c>
      <c r="M19" t="str">
        <f t="shared" si="1"/>
        <v>Not desired</v>
      </c>
      <c r="N19" t="b">
        <f t="shared" si="2"/>
        <v>0</v>
      </c>
      <c r="O19" t="b">
        <f t="shared" si="3"/>
        <v>0</v>
      </c>
      <c r="P19" t="str">
        <f t="shared" si="4"/>
        <v>Not desired</v>
      </c>
      <c r="Q19" t="str">
        <f t="shared" si="5"/>
        <v>salary high</v>
      </c>
      <c r="R19" t="str" cm="1">
        <f t="array" ref="R19">_xlfn.IFS($H19="", "No data", $H19&gt;=$Q$1,"salary high", TRUE, "salary  low")</f>
        <v>salary high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  <c r="K20" t="str">
        <f t="shared" si="6"/>
        <v>Not desired</v>
      </c>
      <c r="L20" t="str">
        <f t="shared" si="0"/>
        <v>Not desired</v>
      </c>
      <c r="M20" t="str">
        <f t="shared" si="1"/>
        <v>Not desired</v>
      </c>
      <c r="N20" t="b">
        <f t="shared" si="2"/>
        <v>0</v>
      </c>
      <c r="O20" t="b">
        <f t="shared" si="3"/>
        <v>0</v>
      </c>
      <c r="P20" t="str">
        <f t="shared" si="4"/>
        <v>Not desired</v>
      </c>
      <c r="Q20" t="str">
        <f t="shared" si="5"/>
        <v>salary low</v>
      </c>
      <c r="R20" t="str" cm="1">
        <f t="array" ref="R20">_xlfn.IFS($H20="", "No data", $H20&gt;=$Q$1,"salary high", TRUE, "salary 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  <c r="K21" t="str">
        <f t="shared" si="6"/>
        <v>Not desired</v>
      </c>
      <c r="L21" t="str">
        <f t="shared" si="0"/>
        <v>Role desired</v>
      </c>
      <c r="M21" t="str">
        <f t="shared" si="1"/>
        <v>Role desired</v>
      </c>
      <c r="N21" t="b">
        <f t="shared" si="2"/>
        <v>0</v>
      </c>
      <c r="O21" t="b">
        <f t="shared" si="3"/>
        <v>1</v>
      </c>
      <c r="P21" t="str">
        <f t="shared" si="4"/>
        <v>Role desired</v>
      </c>
      <c r="Q21" t="str">
        <f t="shared" si="5"/>
        <v>salary high</v>
      </c>
      <c r="R21" t="str" cm="1">
        <f t="array" ref="R21">_xlfn.IFS($H21="", "No data", $H21&gt;=$Q$1,"salary high", TRUE, "salary  low")</f>
        <v>salary high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5" x14ac:dyDescent="0.25"/>
  <cols>
    <col min="1" max="1" width="16.85546875" bestFit="1" customWidth="1"/>
    <col min="2" max="2" width="17.42578125" hidden="1" customWidth="1"/>
    <col min="3" max="3" width="21.85546875" hidden="1" customWidth="1"/>
    <col min="4" max="4" width="11.140625" hidden="1" customWidth="1"/>
    <col min="5" max="5" width="38.140625" hidden="1" customWidth="1"/>
    <col min="6" max="6" width="14.5703125" hidden="1" customWidth="1"/>
    <col min="7" max="7" width="18.5703125" hidden="1" customWidth="1"/>
    <col min="8" max="8" width="13.85546875" bestFit="1" customWidth="1"/>
    <col min="9" max="9" width="19" hidden="1" customWidth="1"/>
    <col min="10" max="10" width="68.140625" hidden="1" customWidth="1"/>
    <col min="11" max="11" width="15.85546875" bestFit="1" customWidth="1"/>
    <col min="12" max="12" width="19.140625" bestFit="1" customWidth="1"/>
    <col min="13" max="13" width="14.28515625" bestFit="1" customWidth="1"/>
    <col min="14" max="14" width="11.28515625" bestFit="1" customWidth="1"/>
    <col min="15" max="15" width="10.140625" bestFit="1" customWidth="1"/>
    <col min="16" max="16" width="14.28515625" bestFit="1" customWidth="1"/>
    <col min="17" max="17" width="10.7109375" bestFit="1" customWidth="1"/>
    <col min="18" max="18" width="12.42578125" bestFit="1" customWidth="1"/>
  </cols>
  <sheetData>
    <row r="1" spans="1:18 16384:16384" x14ac:dyDescent="0.25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25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25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25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25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25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25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25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25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25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25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25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25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25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25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25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25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25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25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25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25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5" x14ac:dyDescent="0.25"/>
  <cols>
    <col min="1" max="1" width="6.5703125" customWidth="1"/>
    <col min="2" max="2" width="13.42578125" customWidth="1"/>
    <col min="3" max="3" width="31.42578125" bestFit="1" customWidth="1"/>
    <col min="4" max="4" width="60.42578125" bestFit="1" customWidth="1"/>
    <col min="5" max="5" width="19.7109375" bestFit="1" customWidth="1"/>
    <col min="6" max="6" width="17.5703125" bestFit="1" customWidth="1"/>
  </cols>
  <sheetData>
    <row r="2" spans="2:6" x14ac:dyDescent="0.25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25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25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25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25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25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25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25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5" x14ac:dyDescent="0.25"/>
  <cols>
    <col min="2" max="2" width="9.85546875" bestFit="1" customWidth="1"/>
    <col min="3" max="3" width="10.5703125" customWidth="1"/>
  </cols>
  <sheetData>
    <row r="1" spans="2:5" ht="15.75" thickBot="1" x14ac:dyDescent="0.3"/>
    <row r="2" spans="2:5" x14ac:dyDescent="0.25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25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25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25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.75" thickBot="1" x14ac:dyDescent="0.3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Omowonuola Ogedengbe</cp:lastModifiedBy>
  <dcterms:created xsi:type="dcterms:W3CDTF">2024-07-16T20:11:02Z</dcterms:created>
  <dcterms:modified xsi:type="dcterms:W3CDTF">2025-10-19T13:12:04Z</dcterms:modified>
</cp:coreProperties>
</file>