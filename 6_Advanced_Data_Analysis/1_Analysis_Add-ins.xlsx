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ta analysiss\drive-download-20251013T143408Z-1-001\6_Advanced_Data_Analysis\"/>
    </mc:Choice>
  </mc:AlternateContent>
  <xr:revisionPtr revIDLastSave="0" documentId="13_ncr:1_{27BD2E57-6BE1-452B-AFFC-E88619C09D6E}" xr6:coauthVersionLast="47" xr6:coauthVersionMax="47" xr10:uidLastSave="{00000000-0000-0000-0000-000000000000}"/>
  <bookViews>
    <workbookView xWindow="-105" yWindow="0" windowWidth="14610" windowHeight="15585" activeTab="8" xr2:uid="{6C37AC85-509F-4D10-9DB1-F70D16D6FBAB}"/>
  </bookViews>
  <sheets>
    <sheet name="Sheet3" sheetId="18" r:id="rId1"/>
    <sheet name="Forecast_Original" sheetId="7" r:id="rId2"/>
    <sheet name="Forecast_Final" sheetId="8" state="hidden" r:id="rId3"/>
    <sheet name="Scenario Summary" sheetId="21" state="hidden" r:id="rId4"/>
    <sheet name="Answer Report 1" sheetId="22" state="hidden" r:id="rId5"/>
    <sheet name="Sensitivity Report 1" sheetId="23" state="hidden" r:id="rId6"/>
    <sheet name="Limits Report 1" sheetId="24" state="hidden" r:id="rId7"/>
    <sheet name="Answer Report 2" sheetId="25" state="hidden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369" i="18"/>
  <c r="C377" i="18"/>
  <c r="C385" i="18"/>
  <c r="C393" i="18"/>
  <c r="C401" i="18"/>
  <c r="C409" i="18"/>
  <c r="C417" i="18"/>
  <c r="C425" i="18"/>
  <c r="C370" i="18"/>
  <c r="C378" i="18"/>
  <c r="C386" i="18"/>
  <c r="C394" i="18"/>
  <c r="C402" i="18"/>
  <c r="C410" i="18"/>
  <c r="C418" i="18"/>
  <c r="C426" i="18"/>
  <c r="C371" i="18"/>
  <c r="C379" i="18"/>
  <c r="C387" i="18"/>
  <c r="C395" i="18"/>
  <c r="C403" i="18"/>
  <c r="C411" i="18"/>
  <c r="C419" i="18"/>
  <c r="C427" i="18"/>
  <c r="C372" i="18"/>
  <c r="C380" i="18"/>
  <c r="C388" i="18"/>
  <c r="C396" i="18"/>
  <c r="C404" i="18"/>
  <c r="C412" i="18"/>
  <c r="C420" i="18"/>
  <c r="C373" i="18"/>
  <c r="C381" i="18"/>
  <c r="C389" i="18"/>
  <c r="C397" i="18"/>
  <c r="C405" i="18"/>
  <c r="C413" i="18"/>
  <c r="C421" i="18"/>
  <c r="C374" i="18"/>
  <c r="C382" i="18"/>
  <c r="C390" i="18"/>
  <c r="C398" i="18"/>
  <c r="C406" i="18"/>
  <c r="C414" i="18"/>
  <c r="C422" i="18"/>
  <c r="C367" i="18"/>
  <c r="C375" i="18"/>
  <c r="C383" i="18"/>
  <c r="C391" i="18"/>
  <c r="C399" i="18"/>
  <c r="C407" i="18"/>
  <c r="C415" i="18"/>
  <c r="C423" i="18"/>
  <c r="C368" i="18"/>
  <c r="C376" i="18"/>
  <c r="C384" i="18"/>
  <c r="C392" i="18"/>
  <c r="C400" i="18"/>
  <c r="C408" i="18"/>
  <c r="C416" i="18"/>
  <c r="C424" i="18"/>
  <c r="E424" i="18"/>
  <c r="E392" i="18"/>
  <c r="E423" i="18"/>
  <c r="E391" i="18"/>
  <c r="D422" i="18"/>
  <c r="D390" i="18"/>
  <c r="D413" i="18"/>
  <c r="D381" i="18"/>
  <c r="D404" i="18"/>
  <c r="D372" i="18"/>
  <c r="E403" i="18"/>
  <c r="E371" i="18"/>
  <c r="E402" i="18"/>
  <c r="E370" i="18"/>
  <c r="E401" i="18"/>
  <c r="E369" i="18"/>
  <c r="D401" i="18"/>
  <c r="E425" i="18"/>
  <c r="E384" i="18"/>
  <c r="E414" i="18"/>
  <c r="D405" i="18"/>
  <c r="E396" i="18"/>
  <c r="D395" i="18"/>
  <c r="D394" i="18"/>
  <c r="E374" i="18"/>
  <c r="D419" i="18"/>
  <c r="D418" i="18"/>
  <c r="D398" i="18"/>
  <c r="E410" i="18"/>
  <c r="E400" i="18"/>
  <c r="D389" i="18"/>
  <c r="D379" i="18"/>
  <c r="D424" i="18"/>
  <c r="D392" i="18"/>
  <c r="D423" i="18"/>
  <c r="D391" i="18"/>
  <c r="E422" i="18"/>
  <c r="E390" i="18"/>
  <c r="E413" i="18"/>
  <c r="E381" i="18"/>
  <c r="E404" i="18"/>
  <c r="E372" i="18"/>
  <c r="D403" i="18"/>
  <c r="D371" i="18"/>
  <c r="D402" i="18"/>
  <c r="D370" i="18"/>
  <c r="D369" i="18"/>
  <c r="D415" i="18"/>
  <c r="D427" i="18"/>
  <c r="D425" i="18"/>
  <c r="E397" i="18"/>
  <c r="D385" i="18"/>
  <c r="D380" i="18"/>
  <c r="E378" i="18"/>
  <c r="D367" i="18"/>
  <c r="E412" i="18"/>
  <c r="D378" i="18"/>
  <c r="E416" i="18"/>
  <c r="D384" i="18"/>
  <c r="E415" i="18"/>
  <c r="E383" i="18"/>
  <c r="D414" i="18"/>
  <c r="D382" i="18"/>
  <c r="E405" i="18"/>
  <c r="D373" i="18"/>
  <c r="D396" i="18"/>
  <c r="E427" i="18"/>
  <c r="E395" i="18"/>
  <c r="E426" i="18"/>
  <c r="E394" i="18"/>
  <c r="E393" i="18"/>
  <c r="D383" i="18"/>
  <c r="E382" i="18"/>
  <c r="E373" i="18"/>
  <c r="D426" i="18"/>
  <c r="D393" i="18"/>
  <c r="E388" i="18"/>
  <c r="D417" i="18"/>
  <c r="D412" i="18"/>
  <c r="E377" i="18"/>
  <c r="E398" i="18"/>
  <c r="D410" i="18"/>
  <c r="D416" i="18"/>
  <c r="E408" i="18"/>
  <c r="E376" i="18"/>
  <c r="E407" i="18"/>
  <c r="E375" i="18"/>
  <c r="D406" i="18"/>
  <c r="D374" i="18"/>
  <c r="D397" i="18"/>
  <c r="D420" i="18"/>
  <c r="D388" i="18"/>
  <c r="E419" i="18"/>
  <c r="E387" i="18"/>
  <c r="E418" i="18"/>
  <c r="E386" i="18"/>
  <c r="E417" i="18"/>
  <c r="E385" i="18"/>
  <c r="D408" i="18"/>
  <c r="D376" i="18"/>
  <c r="D407" i="18"/>
  <c r="D375" i="18"/>
  <c r="E406" i="18"/>
  <c r="E420" i="18"/>
  <c r="D387" i="18"/>
  <c r="D386" i="18"/>
  <c r="D421" i="18"/>
  <c r="E379" i="18"/>
  <c r="E368" i="18"/>
  <c r="E421" i="18"/>
  <c r="E411" i="18"/>
  <c r="D377" i="18"/>
  <c r="D400" i="18"/>
  <c r="D368" i="18"/>
  <c r="E399" i="18"/>
  <c r="E367" i="18"/>
  <c r="E389" i="18"/>
  <c r="D411" i="18"/>
  <c r="E409" i="18"/>
  <c r="D399" i="18"/>
  <c r="E380" i="18"/>
  <c r="D409" i="18"/>
  <c r="C14" i="3" l="1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<sst xmlns="http://schemas.openxmlformats.org/spreadsheetml/2006/main" count="287" uniqueCount="93">
  <si>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</si>
  <si>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</si>
  <si>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</si>
  <si>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</si>
  <si>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</si>
  <si>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</si>
  <si>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</si>
  <si>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</si>
  <si>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</si>
  <si>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</si>
  <si>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</si>
  <si>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</si>
  <si>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</si>
  <si>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</si>
  <si>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</si>
  <si>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</si>
  <si>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</si>
  <si>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</si>
  <si>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</si>
  <si>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</si>
  <si>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</si>
  <si>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</si>
  <si>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</si>
  <si>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</si>
  <si>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</si>
  <si>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</si>
  <si>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</si>
  <si>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</si>
  <si>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</si>
  <si>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</si>
  <si>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</si>
  <si>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</si>
  <si>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</si>
  <si>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</si>
  <si>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</si>
  <si>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</si>
  <si>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</si>
  <si>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</si>
  <si>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</si>
  <si>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</si>
  <si>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</si>
  <si>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</si>
  <si>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</si>
  <si>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</si>
  <si>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</si>
  <si>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</si>
  <si>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</si>
  <si>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</si>
  <si>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</si>
  <si>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</si>
  <si>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</si>
  <si>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</si>
  <si>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</si>
  <si>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</si>
  <si>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</si>
  <si>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</si>
  <si>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</si>
  <si>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</si>
  <si>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</si>
  <si>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</si>
  <si>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</si>
  <si>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</si>
  <si>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</si>
  <si>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</si>
  <si>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</si>
  <si>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</si>
  <si>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</si>
  <si>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</si>
  <si>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</si>
  <si>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</si>
  <si>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</si>
  <si>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</si>
  <si>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</si>
  <si>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</si>
  <si>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</si>
  <si>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</si>
  <si>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</si>
  <si>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</si>
  <si>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yoyinsola ogeds on 19/11/2025
Modified by yoyinsola ogeds on 19/11/2025</t>
  </si>
  <si>
    <t>Created by yoyinsola ogeds on 19/11/2025</t>
  </si>
  <si>
    <t>Report Created: 19/11/2025 22:53:58</t>
  </si>
  <si>
    <t>Solution Time: 0.125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</si>
  <si>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</si>
  <si>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</si>
  <si>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</si>
  <si>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</si>
  <si>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</si>
  <si>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</si>
  <si>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</si>
  <si>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19/11/2025 22:59:38</t>
  </si>
  <si>
    <t>Solution Time: 0.063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</si>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</sst>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£&quot;* #,##0_);_(&quot;£&quot;* \(#,##0\);_(&quot;£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F-49B8-8052-8C996653F32E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Sheet3!$C$2:$C$427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F-49B8-8052-8C996653F32E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Sheet3!$D$2:$D$427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F-49B8-8052-8C996653F32E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Sheet3!$E$2:$E$427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F-49B8-8052-8C996653F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995039"/>
        <c:axId val="2126993599"/>
      </c:lineChart>
      <c:catAx>
        <c:axId val="212699503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93599"/>
        <c:crosses val="autoZero"/>
        <c:auto val="1"/>
        <c:lblAlgn val="ctr"/>
        <c:lblOffset val="100"/>
        <c:noMultiLvlLbl val="0"/>
      </c:catAx>
      <c:valAx>
        <c:axId val="21269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9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111578</xdr:colOff>
      <xdr:row>0</xdr:row>
      <xdr:rowOff>89126</xdr:rowOff>
    </xdr:from>
    <xdr:to>
      <xdr:col>29</xdr:col>
      <xdr:colOff>0</xdr:colOff>
      <xdr:row>29</xdr:row>
      <xdr:rowOff>13608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A6742-ECC3-3138-A830-BFEDF072B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802CB2-EEFD-4D3A-88FC-DF74C95A80B5}" name="Table4" displayName="Table4" ref="A1:E427" totalsRowShown="0">
  <autoFilter ref="A1:E427" xr:uid="{0D802CB2-EEFD-4D3A-88FC-DF74C95A80B5}"/>
  <tableColumns count="5">
    <tableColumn id="1" xr3:uid="{E5EFFBED-F3CF-4FAA-87D0-E3289F5A8137}" name="Date" dataDxfId="5"/>
    <tableColumn id="2" xr3:uid="{EB86B693-8632-4EC5-8FD2-3D256F348097}" name="Job Count"/>
    <tableColumn id="3" xr3:uid="{09E872C6-C4C6-45A1-BFFE-EAF3422F8E2D}" name="Forecast(Job Count)">
      <calculatedColumnFormula>_xlfn.FORECAST.ETS(A2,$B$2:$B$366,$A$2:$A$366,1,1)</calculatedColumnFormula>
    </tableColumn>
    <tableColumn id="4" xr3:uid="{703BF7DF-CC80-4660-B983-A58F9E42D909}" name="Lower Confidence Bound(Job Count)" dataDxfId="4">
      <calculatedColumnFormula>C2-_xlfn.FORECAST.ETS.CONFINT(A2,$B$2:$B$366,$A$2:$A$366,0.95,1,1)</calculatedColumnFormula>
    </tableColumn>
    <tableColumn id="5" xr3:uid="{87FE6099-12AE-443D-BD29-29927B6BA8C6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7C15-1DC2-4D70-AE9C-66BA0368442C}">
  <dimension ref="A1:E427"/>
  <sheetViews>
    <sheetView topLeftCell="F1" zoomScale="50" zoomScaleNormal="50" workbookViewId="0">
      <selection activeCell="AB45" sqref="AB45"/>
    </sheetView>
  </sheetViews>
  <sheetFormatPr defaultRowHeight="15" x14ac:dyDescent="0.25"/>
  <cols>
    <col min="2" max="2" width="12.140625" customWidth="1"/>
    <col min="3" max="3" width="21.28515625" customWidth="1"/>
    <col min="4" max="5" width="36.1406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27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27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opLeftCell="A5" workbookViewId="0">
      <selection activeCell="A5" sqref="A1:B1048576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2809-AFF6-4E14-AF49-F4B450329057}">
  <sheetPr>
    <outlinePr summaryBelow="0"/>
  </sheetPr>
  <dimension ref="B1:G18"/>
  <sheetViews>
    <sheetView showGridLines="0" workbookViewId="0"/>
  </sheetViews>
  <sheetFormatPr defaultRowHeight="15" outlineLevelRow="1" outlineLevelCol="1" x14ac:dyDescent="0.25"/>
  <cols>
    <col min="3" max="3" width="10.85546875" bestFit="1" customWidth="1"/>
    <col min="4" max="7" width="12.42578125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73"/>
      <c r="C4" s="73"/>
      <c r="D4" s="67"/>
      <c r="E4" s="77" t="s">
        <v>78</v>
      </c>
      <c r="F4" s="77" t="s">
        <v>79</v>
      </c>
      <c r="G4" s="77" t="s">
        <v>79</v>
      </c>
    </row>
    <row r="5" spans="2:7" x14ac:dyDescent="0.25">
      <c r="B5" s="25" t="s">
        <v>23</v>
      </c>
      <c r="C5" s="25"/>
      <c r="D5" s="72"/>
      <c r="E5" s="72"/>
      <c r="F5" s="72"/>
      <c r="G5" s="72"/>
    </row>
    <row r="6" spans="2:7" outlineLevel="1" x14ac:dyDescent="0.25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2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2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25">
      <c r="B9" s="25" t="s">
        <v>25</v>
      </c>
      <c r="C9" s="25"/>
      <c r="D9" s="72"/>
      <c r="E9" s="72"/>
      <c r="F9" s="72"/>
      <c r="G9" s="72"/>
    </row>
    <row r="10" spans="2:7" outlineLevel="1" x14ac:dyDescent="0.25">
      <c r="B10" s="73"/>
      <c r="C10" s="73" t="s">
        <v>31</v>
      </c>
      <c r="D10" s="68">
        <v>110000</v>
      </c>
      <c r="E10" s="68">
        <v>110000</v>
      </c>
      <c r="F10" s="68">
        <v>92000</v>
      </c>
      <c r="G10" s="68">
        <v>126000</v>
      </c>
    </row>
    <row r="11" spans="2:7" outlineLevel="1" x14ac:dyDescent="0.25">
      <c r="B11" s="73"/>
      <c r="C11" s="73" t="s">
        <v>36</v>
      </c>
      <c r="D11" s="68">
        <v>111650</v>
      </c>
      <c r="E11" s="68">
        <v>111650</v>
      </c>
      <c r="F11" s="68">
        <v>93104</v>
      </c>
      <c r="G11" s="68">
        <v>127008</v>
      </c>
    </row>
    <row r="12" spans="2:7" outlineLevel="1" x14ac:dyDescent="0.25">
      <c r="B12" s="73"/>
      <c r="C12" s="73" t="s">
        <v>32</v>
      </c>
      <c r="D12" s="68">
        <v>113324.75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25">
      <c r="B13" s="73"/>
      <c r="C13" s="73" t="s">
        <v>33</v>
      </c>
      <c r="D13" s="68">
        <v>115024.62125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25">
      <c r="B14" s="73"/>
      <c r="C14" s="73" t="s">
        <v>34</v>
      </c>
      <c r="D14" s="68">
        <v>116749.99056875</v>
      </c>
      <c r="E14" s="68">
        <v>116749.99056875</v>
      </c>
      <c r="F14" s="68">
        <v>96496.125811712001</v>
      </c>
      <c r="G14" s="68">
        <v>130080.64256409599</v>
      </c>
    </row>
    <row r="15" spans="2:7" ht="15.75" outlineLevel="1" thickBot="1" x14ac:dyDescent="0.3">
      <c r="B15" s="26"/>
      <c r="C15" s="26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088B-B4A0-4DA1-90B0-61B5833191B4}">
  <dimension ref="A1:G27"/>
  <sheetViews>
    <sheetView showGridLines="0" workbookViewId="0"/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7.85546875" customWidth="1"/>
    <col min="7" max="7" width="5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80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81</v>
      </c>
    </row>
    <row r="8" spans="1:5" hidden="1" outlineLevel="1" x14ac:dyDescent="0.25">
      <c r="A8" s="7"/>
      <c r="B8" t="s">
        <v>82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.75" thickBot="1" x14ac:dyDescent="0.3">
      <c r="B16" s="78" t="s">
        <v>29</v>
      </c>
      <c r="C16" s="78" t="s">
        <v>35</v>
      </c>
      <c r="D16" s="81">
        <v>566749.36181874992</v>
      </c>
      <c r="E16" s="81">
        <v>639999.95106057753</v>
      </c>
    </row>
    <row r="19" spans="1:7" ht="15.75" thickBot="1" x14ac:dyDescent="0.3">
      <c r="A19" t="s">
        <v>54</v>
      </c>
    </row>
    <row r="20" spans="1:7" ht="15.75" thickBot="1" x14ac:dyDescent="0.3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25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.75" thickBot="1" x14ac:dyDescent="0.3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.75" thickBot="1" x14ac:dyDescent="0.3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CD01-A0A2-4F4D-AED8-0369A01034DF}">
  <dimension ref="A1:E15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0.85546875" bestFit="1" customWidth="1"/>
    <col min="4" max="4" width="12" bestFit="1" customWidth="1"/>
    <col min="5" max="5" width="9.7109375" bestFit="1" customWidth="1"/>
  </cols>
  <sheetData>
    <row r="1" spans="1:5" x14ac:dyDescent="0.25">
      <c r="A1" s="7" t="s">
        <v>83</v>
      </c>
    </row>
    <row r="2" spans="1:5" x14ac:dyDescent="0.25">
      <c r="A2" s="7" t="s">
        <v>38</v>
      </c>
    </row>
    <row r="3" spans="1:5" x14ac:dyDescent="0.25">
      <c r="A3" s="7" t="s">
        <v>80</v>
      </c>
    </row>
    <row r="6" spans="1:5" ht="15.75" thickBot="1" x14ac:dyDescent="0.3">
      <c r="A6" t="s">
        <v>54</v>
      </c>
    </row>
    <row r="7" spans="1:5" x14ac:dyDescent="0.25">
      <c r="B7" s="84"/>
      <c r="C7" s="84"/>
      <c r="D7" s="84" t="s">
        <v>84</v>
      </c>
      <c r="E7" s="84" t="s">
        <v>85</v>
      </c>
    </row>
    <row r="8" spans="1:5" ht="15.75" thickBot="1" x14ac:dyDescent="0.3">
      <c r="B8" s="85" t="s">
        <v>50</v>
      </c>
      <c r="C8" s="85" t="s">
        <v>51</v>
      </c>
      <c r="D8" s="85" t="s">
        <v>69</v>
      </c>
      <c r="E8" s="85" t="s">
        <v>86</v>
      </c>
    </row>
    <row r="9" spans="1:5" x14ac:dyDescent="0.25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.75" thickBot="1" x14ac:dyDescent="0.3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.75" thickBot="1" x14ac:dyDescent="0.3">
      <c r="A12" t="s">
        <v>56</v>
      </c>
    </row>
    <row r="13" spans="1:5" x14ac:dyDescent="0.25">
      <c r="B13" s="84"/>
      <c r="C13" s="84"/>
      <c r="D13" s="84" t="s">
        <v>84</v>
      </c>
      <c r="E13" s="84" t="s">
        <v>87</v>
      </c>
    </row>
    <row r="14" spans="1:5" ht="15.75" thickBot="1" x14ac:dyDescent="0.3">
      <c r="B14" s="85" t="s">
        <v>50</v>
      </c>
      <c r="C14" s="85" t="s">
        <v>51</v>
      </c>
      <c r="D14" s="85" t="s">
        <v>69</v>
      </c>
      <c r="E14" s="85" t="s">
        <v>88</v>
      </c>
    </row>
    <row r="15" spans="1:5" ht="15.75" thickBot="1" x14ac:dyDescent="0.3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CF97-D180-4808-BFC9-8265FD674756}">
  <dimension ref="A1:J14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0.85546875" bestFit="1" customWidth="1"/>
    <col min="4" max="4" width="10" bestFit="1" customWidth="1"/>
    <col min="5" max="5" width="2.28515625" customWidth="1"/>
    <col min="6" max="6" width="6.42578125" bestFit="1" customWidth="1"/>
    <col min="7" max="7" width="12.140625" bestFit="1" customWidth="1"/>
    <col min="8" max="8" width="2.28515625" customWidth="1"/>
    <col min="9" max="9" width="6.42578125" bestFit="1" customWidth="1"/>
    <col min="10" max="10" width="9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80</v>
      </c>
    </row>
    <row r="5" spans="1:10" ht="15.75" thickBot="1" x14ac:dyDescent="0.3"/>
    <row r="6" spans="1:10" x14ac:dyDescent="0.25">
      <c r="B6" s="84"/>
      <c r="C6" s="84" t="s">
        <v>71</v>
      </c>
      <c r="D6" s="84"/>
    </row>
    <row r="7" spans="1:10" ht="15.75" thickBot="1" x14ac:dyDescent="0.3">
      <c r="B7" s="85" t="s">
        <v>50</v>
      </c>
      <c r="C7" s="85" t="s">
        <v>51</v>
      </c>
      <c r="D7" s="85" t="s">
        <v>69</v>
      </c>
    </row>
    <row r="8" spans="1:10" ht="15.75" thickBot="1" x14ac:dyDescent="0.3">
      <c r="B8" s="78" t="s">
        <v>29</v>
      </c>
      <c r="C8" s="78" t="s">
        <v>35</v>
      </c>
      <c r="D8" s="81">
        <v>639999.95106057753</v>
      </c>
    </row>
    <row r="10" spans="1:10" ht="15.75" thickBot="1" x14ac:dyDescent="0.3"/>
    <row r="11" spans="1:10" x14ac:dyDescent="0.25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.75" thickBot="1" x14ac:dyDescent="0.3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25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.75" thickBot="1" x14ac:dyDescent="0.3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A11C-50A1-4F77-ADC6-D2D67CAD595B}">
  <dimension ref="A1:G29"/>
  <sheetViews>
    <sheetView showGridLines="0" workbookViewId="0"/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11.28515625" bestFit="1" customWidth="1"/>
    <col min="7" max="7" width="12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89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90</v>
      </c>
    </row>
    <row r="8" spans="1:5" hidden="1" outlineLevel="1" x14ac:dyDescent="0.25">
      <c r="A8" s="7"/>
      <c r="B8" t="s">
        <v>82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.75" thickBot="1" x14ac:dyDescent="0.3">
      <c r="B16" s="78" t="s">
        <v>29</v>
      </c>
      <c r="C16" s="78" t="s">
        <v>35</v>
      </c>
      <c r="D16" s="81">
        <v>622877.09440000006</v>
      </c>
      <c r="E16" s="81">
        <v>640000.14523942047</v>
      </c>
    </row>
    <row r="19" spans="1:7" ht="15.75" thickBot="1" x14ac:dyDescent="0.3">
      <c r="A19" t="s">
        <v>54</v>
      </c>
    </row>
    <row r="20" spans="1:7" ht="15.75" thickBot="1" x14ac:dyDescent="0.3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25">
      <c r="B21" s="80" t="s">
        <v>60</v>
      </c>
      <c r="C21" s="80" t="s">
        <v>15</v>
      </c>
      <c r="D21" s="82">
        <v>0.15</v>
      </c>
      <c r="E21" s="82">
        <v>0.17283479610661426</v>
      </c>
      <c r="F21" s="80" t="s">
        <v>61</v>
      </c>
    </row>
    <row r="22" spans="1:7" ht="15.75" thickBot="1" x14ac:dyDescent="0.3">
      <c r="B22" s="78" t="s">
        <v>62</v>
      </c>
      <c r="C22" s="78" t="s">
        <v>16</v>
      </c>
      <c r="D22" s="83">
        <v>0.04</v>
      </c>
      <c r="E22" s="83">
        <v>4.3731865887940702E-2</v>
      </c>
      <c r="F22" s="7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25">
      <c r="B27" s="80" t="s">
        <v>29</v>
      </c>
      <c r="C27" s="80" t="s">
        <v>35</v>
      </c>
      <c r="D27" s="86">
        <v>640000.14523942047</v>
      </c>
      <c r="E27" s="80" t="s">
        <v>63</v>
      </c>
      <c r="F27" s="80" t="s">
        <v>64</v>
      </c>
      <c r="G27" s="80">
        <v>0</v>
      </c>
    </row>
    <row r="28" spans="1:7" x14ac:dyDescent="0.25">
      <c r="B28" s="80" t="s">
        <v>60</v>
      </c>
      <c r="C28" s="80" t="s">
        <v>15</v>
      </c>
      <c r="D28" s="82">
        <v>0.17283479610661426</v>
      </c>
      <c r="E28" s="80" t="s">
        <v>91</v>
      </c>
      <c r="F28" s="80" t="s">
        <v>66</v>
      </c>
      <c r="G28" s="80">
        <v>2.7165203893385753E-2</v>
      </c>
    </row>
    <row r="29" spans="1:7" ht="15.75" thickBot="1" x14ac:dyDescent="0.3">
      <c r="B29" s="78" t="s">
        <v>62</v>
      </c>
      <c r="C29" s="78" t="s">
        <v>16</v>
      </c>
      <c r="D29" s="83">
        <v>4.3731865887940702E-2</v>
      </c>
      <c r="E29" s="78" t="s">
        <v>92</v>
      </c>
      <c r="F29" s="78" t="s">
        <v>66</v>
      </c>
      <c r="G29" s="78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K21" sqref="K21"/>
    </sheetView>
  </sheetViews>
  <sheetFormatPr defaultRowHeight="15" x14ac:dyDescent="0.25"/>
  <cols>
    <col min="2" max="2" width="11.5703125" customWidth="1"/>
    <col min="3" max="3" width="11.85546875" bestFit="1" customWidth="1"/>
    <col min="6" max="6" width="10" customWidth="1"/>
    <col min="7" max="7" width="6.7109375" customWidth="1"/>
    <col min="8" max="8" width="11.5703125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117283.47961066144</v>
      </c>
    </row>
    <row r="10" spans="2:8" x14ac:dyDescent="0.25">
      <c r="B10" s="4">
        <v>1</v>
      </c>
      <c r="C10" s="2">
        <f>(base*(1+raise)^B10)*(1+bonus)</f>
        <v>122412.5050118659</v>
      </c>
    </row>
    <row r="11" spans="2:8" x14ac:dyDescent="0.25">
      <c r="B11" s="4">
        <v>2</v>
      </c>
      <c r="C11" s="2">
        <f>(base*(1+raise)^B11)*(1+bonus)</f>
        <v>127765.83226405167</v>
      </c>
    </row>
    <row r="12" spans="2:8" x14ac:dyDescent="0.25">
      <c r="B12" s="4">
        <v>3</v>
      </c>
      <c r="C12" s="2">
        <f>(base*(1+raise)^B12)*(1+bonus)</f>
        <v>133353.27050568431</v>
      </c>
    </row>
    <row r="13" spans="2:8" ht="15.75" thickBot="1" x14ac:dyDescent="0.3">
      <c r="B13" s="36">
        <v>4</v>
      </c>
      <c r="C13" s="37">
        <f>(base*(1+raise)^B13)*(1+bonus)</f>
        <v>139185.05784715715</v>
      </c>
    </row>
    <row r="14" spans="2:8" ht="16.5" thickTop="1" thickBot="1" x14ac:dyDescent="0.3">
      <c r="B14" s="34" t="s">
        <v>3</v>
      </c>
      <c r="C14" s="35">
        <f>SUM(C9:C13)</f>
        <v>640000.14523942047</v>
      </c>
    </row>
  </sheetData>
  <scenarios current="2" sqref="C9:C14">
    <scenario name="Job 1" locked="1" count="3" user="yoyinsola ogeds" comment="Created by yoyinsola ogeds on 19/11/2025_x000a_Modified by yoyinsola ogeds on 19/11/2025">
      <inputCells r="C3" val="100000" numFmtId="165"/>
      <inputCells r="C4" val="0.1" numFmtId="9"/>
      <inputCells r="C5" val="0.015" numFmtId="166"/>
    </scenario>
    <scenario name="Job 2" locked="1" count="3" user="yoyinsola ogeds" comment="Created by yoyinsola ogeds on 19/11/2025">
      <inputCells r="C3" val="80000" numFmtId="165"/>
      <inputCells r="C4" val="0.15" numFmtId="9"/>
      <inputCells r="C5" val="0.012" numFmtId="166"/>
    </scenario>
    <scenario name="Job 3" locked="1" count="3" user="yoyinsola ogeds" comment="Created by yoyinsola ogeds on 19/11/2025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Sheet3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yoyinsola ogeds</cp:lastModifiedBy>
  <dcterms:created xsi:type="dcterms:W3CDTF">2024-08-08T18:34:47Z</dcterms:created>
  <dcterms:modified xsi:type="dcterms:W3CDTF">2025-11-20T19:17:20Z</dcterms:modified>
</cp:coreProperties>
</file>